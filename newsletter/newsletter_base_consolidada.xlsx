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" sheetId="1" state="visible" r:id="rId3"/>
    <sheet name="Resumen" sheetId="2" state="visible" r:id="rId4"/>
  </sheets>
  <definedNames>
    <definedName function="false" hidden="true" localSheetId="0" name="_xlnm._FilterDatabase" vbProcedure="false">Base!$A$1:$H$87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<sst xmlns="http://schemas.openxmlformats.org/spreadsheetml/2006/main" count="476" uniqueCount="316">
  <si>
    <t xml:space="preserve">email</t>
  </si>
  <si>
    <t xml:space="preserve">nombre</t>
  </si>
  <si>
    <t xml:space="preserve">apellido</t>
  </si>
  <si>
    <t xml:space="preserve">telefono</t>
  </si>
  <si>
    <t xml:space="preserve">institucion</t>
  </si>
  <si>
    <t xml:space="preserve">origen</t>
  </si>
  <si>
    <t xml:space="preserve">etiquetas</t>
  </si>
  <si>
    <t xml:space="preserve">consentimiento</t>
  </si>
  <si>
    <t xml:space="preserve">008marialujan0008@gmail.com</t>
  </si>
  <si>
    <t xml:space="preserve">Medina Maria Lujan</t>
  </si>
  <si>
    <t xml:space="preserve">223-6878168</t>
  </si>
  <si>
    <t xml:space="preserve">escuela primaria n° 29 Mariano Moreno</t>
  </si>
  <si>
    <t xml:space="preserve">Propuesta educativa (form) / Form Responses 1</t>
  </si>
  <si>
    <t xml:space="preserve">educacion</t>
  </si>
  <si>
    <t xml:space="preserve">acuibioo@gmail.com</t>
  </si>
  <si>
    <t xml:space="preserve">Martínez Soledad</t>
  </si>
  <si>
    <t xml:space="preserve">2235644108</t>
  </si>
  <si>
    <t xml:space="preserve">Colegio Naciones Unidas</t>
  </si>
  <si>
    <t xml:space="preserve">adrianaveggi@hotmail.com</t>
  </si>
  <si>
    <t xml:space="preserve">Adriana veggi</t>
  </si>
  <si>
    <t xml:space="preserve">2235028066</t>
  </si>
  <si>
    <t xml:space="preserve">Visita botánica (form) / Form Responses 1</t>
  </si>
  <si>
    <t xml:space="preserve">visita_botanica</t>
  </si>
  <si>
    <t xml:space="preserve">anacor432@gmail.com</t>
  </si>
  <si>
    <t xml:space="preserve">Ana Cornejo</t>
  </si>
  <si>
    <t xml:space="preserve">2236805796</t>
  </si>
  <si>
    <t xml:space="preserve">andru58buw@gmail.com</t>
  </si>
  <si>
    <t xml:space="preserve">Andrea Busch</t>
  </si>
  <si>
    <t xml:space="preserve">2236324936</t>
  </si>
  <si>
    <t xml:space="preserve">angelinaurbano64@gmail.com</t>
  </si>
  <si>
    <t xml:space="preserve">Angelina Urbano</t>
  </si>
  <si>
    <t xml:space="preserve">2236854775</t>
  </si>
  <si>
    <t xml:space="preserve">aufetpatricia@gmail.com</t>
  </si>
  <si>
    <t xml:space="preserve">Patricia</t>
  </si>
  <si>
    <t xml:space="preserve">2235820049</t>
  </si>
  <si>
    <t xml:space="preserve">auzalorena@hotmail.com</t>
  </si>
  <si>
    <t xml:space="preserve">Lorena Auza</t>
  </si>
  <si>
    <t xml:space="preserve">2235753497</t>
  </si>
  <si>
    <t xml:space="preserve">biocca.nicolas@gmail.com</t>
  </si>
  <si>
    <t xml:space="preserve">Nico</t>
  </si>
  <si>
    <t xml:space="preserve">Biocca</t>
  </si>
  <si>
    <t xml:space="preserve">Contactos y grupos / Familia</t>
  </si>
  <si>
    <t xml:space="preserve">contactos</t>
  </si>
  <si>
    <t xml:space="preserve">bximartinez@gmail.com</t>
  </si>
  <si>
    <t xml:space="preserve">Martinez Bernardo Ignacio</t>
  </si>
  <si>
    <t xml:space="preserve">2235274744</t>
  </si>
  <si>
    <t xml:space="preserve">Ees 42</t>
  </si>
  <si>
    <t xml:space="preserve">candela.ledesma@live.com</t>
  </si>
  <si>
    <t xml:space="preserve">Candela Ledesma</t>
  </si>
  <si>
    <t xml:space="preserve">01165655651</t>
  </si>
  <si>
    <t xml:space="preserve">candela_cd@hotmail.com</t>
  </si>
  <si>
    <t xml:space="preserve">María Candela Camargo</t>
  </si>
  <si>
    <t xml:space="preserve">2234541404</t>
  </si>
  <si>
    <t xml:space="preserve">carocastanas@gmail.com</t>
  </si>
  <si>
    <t xml:space="preserve">Carolina Castanas</t>
  </si>
  <si>
    <t xml:space="preserve">2235139538</t>
  </si>
  <si>
    <t xml:space="preserve">colonnella.julieta@inta.gob.ar</t>
  </si>
  <si>
    <t xml:space="preserve">Julieta</t>
  </si>
  <si>
    <t xml:space="preserve">Colonnella</t>
  </si>
  <si>
    <t xml:space="preserve">Contactos y grupos / Grupos de Confianza</t>
  </si>
  <si>
    <t xml:space="preserve">combajuanjose@hotmail.com</t>
  </si>
  <si>
    <t xml:space="preserve">Juan Jose</t>
  </si>
  <si>
    <t xml:space="preserve">Comba</t>
  </si>
  <si>
    <t xml:space="preserve">combimdq@gmail.com</t>
  </si>
  <si>
    <t xml:space="preserve">Combis</t>
  </si>
  <si>
    <t xml:space="preserve">2235246390</t>
  </si>
  <si>
    <t xml:space="preserve">Contactos y grupos / Combis para Translado</t>
  </si>
  <si>
    <t xml:space="preserve">cruibal@abc.gob.ar</t>
  </si>
  <si>
    <t xml:space="preserve">Claudia Ruibal</t>
  </si>
  <si>
    <t xml:space="preserve">2236927372</t>
  </si>
  <si>
    <t xml:space="preserve">darthvarda@gmail.com</t>
  </si>
  <si>
    <t xml:space="preserve">María Amuchategui</t>
  </si>
  <si>
    <t xml:space="preserve">2236835059</t>
  </si>
  <si>
    <t xml:space="preserve">ddforestal@gmail.com</t>
  </si>
  <si>
    <t xml:space="preserve">Diego</t>
  </si>
  <si>
    <t xml:space="preserve">Daeguer</t>
  </si>
  <si>
    <t xml:space="preserve">delfina.maestra@gmail.com</t>
  </si>
  <si>
    <t xml:space="preserve">María Delfina Antic</t>
  </si>
  <si>
    <t xml:space="preserve">2235823250</t>
  </si>
  <si>
    <t xml:space="preserve">Colegio de las Naciones Unidas</t>
  </si>
  <si>
    <t xml:space="preserve">delgadocamila@hotmail.com</t>
  </si>
  <si>
    <t xml:space="preserve">Camila</t>
  </si>
  <si>
    <t xml:space="preserve">Delgado</t>
  </si>
  <si>
    <t xml:space="preserve">542235138819</t>
  </si>
  <si>
    <t xml:space="preserve">Contactos y grupos / Contactos La Const de Biocca</t>
  </si>
  <si>
    <t xml:space="preserve">doloresjulianatorre@gmail.com</t>
  </si>
  <si>
    <t xml:space="preserve">Dolores Juliana Torres</t>
  </si>
  <si>
    <t xml:space="preserve">Eventos y talleres / Base de Datos Compilada</t>
  </si>
  <si>
    <t xml:space="preserve">eventos</t>
  </si>
  <si>
    <t xml:space="preserve">ecologia_forestal@yahoo.com.ar</t>
  </si>
  <si>
    <t xml:space="preserve">Maria Elena</t>
  </si>
  <si>
    <t xml:space="preserve">Fernandez</t>
  </si>
  <si>
    <t xml:space="preserve">emilia.giobio@sustentabledigital.com</t>
  </si>
  <si>
    <t xml:space="preserve">Emilia</t>
  </si>
  <si>
    <t xml:space="preserve">estebanlagoph@gmail.com</t>
  </si>
  <si>
    <t xml:space="preserve">Lago, Esteban</t>
  </si>
  <si>
    <t xml:space="preserve">223-4394391</t>
  </si>
  <si>
    <t xml:space="preserve">Contactos y grupos / Prov. eventos</t>
  </si>
  <si>
    <t xml:space="preserve">fgattesco@hotmail.com</t>
  </si>
  <si>
    <t xml:space="preserve">Francesco</t>
  </si>
  <si>
    <t xml:space="preserve">Gattesco</t>
  </si>
  <si>
    <t xml:space="preserve">fisicanieves@gmail.com</t>
  </si>
  <si>
    <t xml:space="preserve">Nieves Garcia</t>
  </si>
  <si>
    <t xml:space="preserve">2235302724</t>
  </si>
  <si>
    <t xml:space="preserve">floripa024@gmail.com</t>
  </si>
  <si>
    <t xml:space="preserve">María Florencia Campo</t>
  </si>
  <si>
    <t xml:space="preserve">2233408478</t>
  </si>
  <si>
    <t xml:space="preserve">forestalnet@gmail.com</t>
  </si>
  <si>
    <t xml:space="preserve">Juan</t>
  </si>
  <si>
    <t xml:space="preserve">Smith</t>
  </si>
  <si>
    <t xml:space="preserve">gmariaflorencia@gmail.com</t>
  </si>
  <si>
    <t xml:space="preserve">Maria Florencia</t>
  </si>
  <si>
    <t xml:space="preserve">Gonzalez</t>
  </si>
  <si>
    <t xml:space="preserve">heradri44@hotmail.com</t>
  </si>
  <si>
    <t xml:space="preserve">Adriana</t>
  </si>
  <si>
    <t xml:space="preserve">2235045518</t>
  </si>
  <si>
    <t xml:space="preserve">Taller (form) / Form Responses 1</t>
  </si>
  <si>
    <t xml:space="preserve">taller</t>
  </si>
  <si>
    <t xml:space="preserve">info@florbaezfotografia.com</t>
  </si>
  <si>
    <t xml:space="preserve">Flor y Gonzalo</t>
  </si>
  <si>
    <t xml:space="preserve">223-5036144</t>
  </si>
  <si>
    <t xml:space="preserve">jorgasparri@yahoo.com.ar</t>
  </si>
  <si>
    <t xml:space="preserve">Jorgelina</t>
  </si>
  <si>
    <t xml:space="preserve">2235346829</t>
  </si>
  <si>
    <t xml:space="preserve">juan.zurita.biocca@gmail.com</t>
  </si>
  <si>
    <t xml:space="preserve">Juan Ignacio</t>
  </si>
  <si>
    <t xml:space="preserve">Zurita-Biocca</t>
  </si>
  <si>
    <t xml:space="preserve">juaniletamendia@gmail.com</t>
  </si>
  <si>
    <t xml:space="preserve">Juan Ignacio Letamendia</t>
  </si>
  <si>
    <t xml:space="preserve">2235467829</t>
  </si>
  <si>
    <t xml:space="preserve">julietarodriguezcarlsen@caraludme.edu.ar</t>
  </si>
  <si>
    <t xml:space="preserve">Julieta Rodriguez Carlsen</t>
  </si>
  <si>
    <t xml:space="preserve">kgalli@abc.gob.ar</t>
  </si>
  <si>
    <t xml:space="preserve">Karina galli</t>
  </si>
  <si>
    <t xml:space="preserve">02234462129</t>
  </si>
  <si>
    <t xml:space="preserve">Ep14</t>
  </si>
  <si>
    <t xml:space="preserve">ladislaoferrandoa@gmail.com</t>
  </si>
  <si>
    <t xml:space="preserve">Ladislao</t>
  </si>
  <si>
    <t xml:space="preserve">Ferrando</t>
  </si>
  <si>
    <t xml:space="preserve">lauralombardi40@gmail.com</t>
  </si>
  <si>
    <t xml:space="preserve">Laura Lombardi</t>
  </si>
  <si>
    <t xml:space="preserve">2234216361</t>
  </si>
  <si>
    <t xml:space="preserve">E.E.S.T N° 1</t>
  </si>
  <si>
    <t xml:space="preserve">lauralorenzo130@gmail.com</t>
  </si>
  <si>
    <t xml:space="preserve">Laura Lorenzo</t>
  </si>
  <si>
    <t xml:space="preserve">2234560718</t>
  </si>
  <si>
    <t xml:space="preserve">liliana.fernandez.2018@hotmail.com</t>
  </si>
  <si>
    <t xml:space="preserve">Liliana Fernández</t>
  </si>
  <si>
    <t xml:space="preserve">2234559108</t>
  </si>
  <si>
    <t xml:space="preserve">lilicolantonio@hotmail.com</t>
  </si>
  <si>
    <t xml:space="preserve">Liliana</t>
  </si>
  <si>
    <t xml:space="preserve">2983457917</t>
  </si>
  <si>
    <t xml:space="preserve">lucasgregori2017@gmail.com</t>
  </si>
  <si>
    <t xml:space="preserve">Lucas Gregori</t>
  </si>
  <si>
    <t xml:space="preserve">2236702405</t>
  </si>
  <si>
    <t xml:space="preserve">Nahuel Huapi</t>
  </si>
  <si>
    <t xml:space="preserve">luciladefferrari@gmail.com</t>
  </si>
  <si>
    <t xml:space="preserve">Lucila</t>
  </si>
  <si>
    <t xml:space="preserve">Defferrari</t>
  </si>
  <si>
    <t xml:space="preserve">221 6719605</t>
  </si>
  <si>
    <t xml:space="preserve">m.dominguez@svpmdp.redfasta.edu.ar</t>
  </si>
  <si>
    <t xml:space="preserve">Mariana Domínguez</t>
  </si>
  <si>
    <t xml:space="preserve">2235276164</t>
  </si>
  <si>
    <t xml:space="preserve">FASTA San Vicente de Paúl</t>
  </si>
  <si>
    <t xml:space="preserve">maleazul@gmail.com</t>
  </si>
  <si>
    <t xml:space="preserve">María</t>
  </si>
  <si>
    <t xml:space="preserve">223 4470536</t>
  </si>
  <si>
    <t xml:space="preserve">maria.beck@hotmail.com</t>
  </si>
  <si>
    <t xml:space="preserve">María Alejandra Beck</t>
  </si>
  <si>
    <t xml:space="preserve">02235186260</t>
  </si>
  <si>
    <t xml:space="preserve">maritahenales@gmail.com</t>
  </si>
  <si>
    <t xml:space="preserve">Maria Cattáneo</t>
  </si>
  <si>
    <t xml:space="preserve">2236176373</t>
  </si>
  <si>
    <t xml:space="preserve">Instituto Gianelli</t>
  </si>
  <si>
    <t xml:space="preserve">martitapereyras@gmail.com</t>
  </si>
  <si>
    <t xml:space="preserve">Marta Smart</t>
  </si>
  <si>
    <t xml:space="preserve">11 4578 2600</t>
  </si>
  <si>
    <t xml:space="preserve">matias.priani@sustentabledigital.com</t>
  </si>
  <si>
    <t xml:space="preserve">Matias</t>
  </si>
  <si>
    <t xml:space="preserve">mendezadriana2019@gmail.com</t>
  </si>
  <si>
    <t xml:space="preserve">2236885112</t>
  </si>
  <si>
    <t xml:space="preserve">Eventos y talleres / 15 Feb 25 VB | Eventos y talleres / Base de Datos Compilada | Visita botánica (form) / Form Responses 1</t>
  </si>
  <si>
    <t xml:space="preserve">eventos,visita_botanica</t>
  </si>
  <si>
    <t xml:space="preserve">mikaela.humanas@gmail.com</t>
  </si>
  <si>
    <t xml:space="preserve">Mikku Gonzalez</t>
  </si>
  <si>
    <t xml:space="preserve">54 9 2494367897</t>
  </si>
  <si>
    <t xml:space="preserve">Eventos y talleres / Eventos</t>
  </si>
  <si>
    <t xml:space="preserve">monyroitman@gmail.com</t>
  </si>
  <si>
    <t xml:space="preserve">ROITMAN MONICA</t>
  </si>
  <si>
    <t xml:space="preserve">223 154375487</t>
  </si>
  <si>
    <t xml:space="preserve">EES N25 LA CHACRA</t>
  </si>
  <si>
    <t xml:space="preserve">moreno.fabiana@inta.gob.ar</t>
  </si>
  <si>
    <t xml:space="preserve">Fabiana</t>
  </si>
  <si>
    <t xml:space="preserve">Moreno</t>
  </si>
  <si>
    <t xml:space="preserve">mulazzi.laura@inta.gob.ar</t>
  </si>
  <si>
    <t xml:space="preserve">Laura</t>
  </si>
  <si>
    <t xml:space="preserve">Mulazzi</t>
  </si>
  <si>
    <t xml:space="preserve">mvictoriavilla@hotmail.com</t>
  </si>
  <si>
    <t xml:space="preserve">Maria Victoria</t>
  </si>
  <si>
    <t xml:space="preserve">Villa</t>
  </si>
  <si>
    <t xml:space="preserve">nicociamarianela2@hotmail.com</t>
  </si>
  <si>
    <t xml:space="preserve">Marianela</t>
  </si>
  <si>
    <t xml:space="preserve">2234983333</t>
  </si>
  <si>
    <t xml:space="preserve">nidiagraf@gmail.com</t>
  </si>
  <si>
    <t xml:space="preserve">nidia graf</t>
  </si>
  <si>
    <t xml:space="preserve">2236201593</t>
  </si>
  <si>
    <t xml:space="preserve">Colegio Northern Hills</t>
  </si>
  <si>
    <t xml:space="preserve">nieves1507@yahoo.com.ar</t>
  </si>
  <si>
    <t xml:space="preserve">Nieves</t>
  </si>
  <si>
    <t xml:space="preserve">2235043105</t>
  </si>
  <si>
    <t xml:space="preserve">pablo.ariel.andres@gmail.com</t>
  </si>
  <si>
    <t xml:space="preserve">Andrés, Pablo Ariel</t>
  </si>
  <si>
    <t xml:space="preserve">(0223) 581-5421</t>
  </si>
  <si>
    <t xml:space="preserve">pamelarivara@gmail.com</t>
  </si>
  <si>
    <t xml:space="preserve">Pamela Rivara</t>
  </si>
  <si>
    <t xml:space="preserve">2235895558</t>
  </si>
  <si>
    <t xml:space="preserve">paulamillenaar@gmail.com</t>
  </si>
  <si>
    <t xml:space="preserve">Paula Millenaar</t>
  </si>
  <si>
    <t xml:space="preserve">2235636851</t>
  </si>
  <si>
    <t xml:space="preserve">Escuela primaria municipal n 14</t>
  </si>
  <si>
    <t xml:space="preserve">pecosbillsmc@hotmail.com</t>
  </si>
  <si>
    <t xml:space="preserve">Stella Maris Cristeche</t>
  </si>
  <si>
    <t xml:space="preserve">2235595120</t>
  </si>
  <si>
    <t xml:space="preserve">IAMA</t>
  </si>
  <si>
    <t xml:space="preserve">pinceladamarina@gmail.com</t>
  </si>
  <si>
    <t xml:space="preserve">Marina Díaz Viel</t>
  </si>
  <si>
    <t xml:space="preserve">2235187872</t>
  </si>
  <si>
    <t xml:space="preserve">Secundaria 13 sierras</t>
  </si>
  <si>
    <t xml:space="preserve">privero15@abc.gob.ar</t>
  </si>
  <si>
    <t xml:space="preserve">Paula Rivero</t>
  </si>
  <si>
    <t xml:space="preserve">2234376648</t>
  </si>
  <si>
    <t xml:space="preserve">EP 53 JUANA MANSO</t>
  </si>
  <si>
    <t xml:space="preserve">quijadag@hotmail.com</t>
  </si>
  <si>
    <t xml:space="preserve">German Ricardo Quijad</t>
  </si>
  <si>
    <t xml:space="preserve">2983647148</t>
  </si>
  <si>
    <t xml:space="preserve">rar_89@hotmail.com</t>
  </si>
  <si>
    <t xml:space="preserve">Ruth Rodriguez</t>
  </si>
  <si>
    <t xml:space="preserve">2234550545</t>
  </si>
  <si>
    <t xml:space="preserve">Escuela Primaria n24</t>
  </si>
  <si>
    <t xml:space="preserve">romicheru98@gmail.com</t>
  </si>
  <si>
    <t xml:space="preserve">Romina Cherú</t>
  </si>
  <si>
    <t xml:space="preserve">2236842530</t>
  </si>
  <si>
    <t xml:space="preserve">rominaressia82@gmail.com</t>
  </si>
  <si>
    <t xml:space="preserve">Romina Ressia</t>
  </si>
  <si>
    <t xml:space="preserve">2983617281</t>
  </si>
  <si>
    <t xml:space="preserve">s.maraude@gmail.com</t>
  </si>
  <si>
    <t xml:space="preserve">Maraude Santiago</t>
  </si>
  <si>
    <t xml:space="preserve">223 5920927</t>
  </si>
  <si>
    <t xml:space="preserve">saldivia.mp@gmail.com</t>
  </si>
  <si>
    <t xml:space="preserve">María Paula Saldivia</t>
  </si>
  <si>
    <t xml:space="preserve">2235736460</t>
  </si>
  <si>
    <t xml:space="preserve">sanciveli1977@gmail.com</t>
  </si>
  <si>
    <t xml:space="preserve">Sanciveli, María Carola</t>
  </si>
  <si>
    <t xml:space="preserve">223-6365450</t>
  </si>
  <si>
    <t xml:space="preserve">silvanatrapani@gmail.com</t>
  </si>
  <si>
    <t xml:space="preserve">Silvana Trapani</t>
  </si>
  <si>
    <t xml:space="preserve">2235334293</t>
  </si>
  <si>
    <t xml:space="preserve">solcisk@gmail.com</t>
  </si>
  <si>
    <t xml:space="preserve">MARIA SOL KLOSTER</t>
  </si>
  <si>
    <t xml:space="preserve">Eventos y talleres /  15 Feb 25 METAECO</t>
  </si>
  <si>
    <t xml:space="preserve">tabbiamariaagustina@gmail.com</t>
  </si>
  <si>
    <t xml:space="preserve">Maria Agustina</t>
  </si>
  <si>
    <t xml:space="preserve">Tabbia</t>
  </si>
  <si>
    <t xml:space="preserve">0054 9 (223) 5599542</t>
  </si>
  <si>
    <t xml:space="preserve">tamararoxy12@gmail.com</t>
  </si>
  <si>
    <t xml:space="preserve">Dell olio Tamara</t>
  </si>
  <si>
    <t xml:space="preserve">2235216614</t>
  </si>
  <si>
    <t xml:space="preserve">tarrafalex@gmail.com</t>
  </si>
  <si>
    <t xml:space="preserve">Alex</t>
  </si>
  <si>
    <t xml:space="preserve">2233435253</t>
  </si>
  <si>
    <t xml:space="preserve">teclucasmartinez@gmail.com</t>
  </si>
  <si>
    <t xml:space="preserve">Juan Lucas</t>
  </si>
  <si>
    <t xml:space="preserve">2235280425</t>
  </si>
  <si>
    <t xml:space="preserve">tomasoconnor0@gmail.com</t>
  </si>
  <si>
    <t xml:space="preserve">Tomas</t>
  </si>
  <si>
    <t xml:space="preserve">Occonor</t>
  </si>
  <si>
    <t xml:space="preserve">turismoentandil@gmail.com</t>
  </si>
  <si>
    <t xml:space="preserve">Elena</t>
  </si>
  <si>
    <t xml:space="preserve">Valdez</t>
  </si>
  <si>
    <t xml:space="preserve">5492494325459</t>
  </si>
  <si>
    <t xml:space="preserve">uranmaria@gmail.com</t>
  </si>
  <si>
    <t xml:space="preserve">Ferchu</t>
  </si>
  <si>
    <t xml:space="preserve">54 9 2235 21-6044</t>
  </si>
  <si>
    <t xml:space="preserve">Eventos y talleres / Visitas Escuelas</t>
  </si>
  <si>
    <t xml:space="preserve">urtasunleonel@gmail.com</t>
  </si>
  <si>
    <t xml:space="preserve">Leonel urtasun</t>
  </si>
  <si>
    <t xml:space="preserve">1128575042</t>
  </si>
  <si>
    <t xml:space="preserve">valmdq@hotmail.com</t>
  </si>
  <si>
    <t xml:space="preserve">Val- Bus transporte</t>
  </si>
  <si>
    <t xml:space="preserve">2235217657</t>
  </si>
  <si>
    <t xml:space="preserve">victoriamisto@hotmail.com</t>
  </si>
  <si>
    <t xml:space="preserve">María Victoria Misto</t>
  </si>
  <si>
    <t xml:space="preserve">2234489197</t>
  </si>
  <si>
    <t xml:space="preserve">Stella Maris</t>
  </si>
  <si>
    <t xml:space="preserve">ycorbett179@gmail.com</t>
  </si>
  <si>
    <t xml:space="preserve">Yolanda</t>
  </si>
  <si>
    <t xml:space="preserve">yogaviota69@gmail.com</t>
  </si>
  <si>
    <t xml:space="preserve">Gabriela Romer</t>
  </si>
  <si>
    <t xml:space="preserve">2235602216</t>
  </si>
  <si>
    <t xml:space="preserve">Base de contactos — Newsletter Arboretum La Constancia</t>
  </si>
  <si>
    <t xml:space="preserve">Consolidada y deduplicada a partir de 5 archivos.</t>
  </si>
  <si>
    <t xml:space="preserve">Contactos únicos (válidos)</t>
  </si>
  <si>
    <t xml:space="preserve">Filas con email halladas</t>
  </si>
  <si>
    <t xml:space="preserve">Duplicados fusionados</t>
  </si>
  <si>
    <t xml:space="preserve">Emails inválidos descartados</t>
  </si>
  <si>
    <t xml:space="preserve">Por fuente (un contacto puede tener varias)</t>
  </si>
  <si>
    <t xml:space="preserve">Visita botánica</t>
  </si>
  <si>
    <t xml:space="preserve">Propuesta educativa</t>
  </si>
  <si>
    <t xml:space="preserve">Contactos y grupos</t>
  </si>
  <si>
    <t xml:space="preserve">Taller</t>
  </si>
  <si>
    <t xml:space="preserve">Eventos y talleres</t>
  </si>
  <si>
    <t xml:space="preserve">Cómo usar esta base</t>
  </si>
  <si>
    <t xml:space="preserve">• La columna 'consentimiento' (amarillo) está vacía a propósito: completala sí/no según corresponda.</t>
  </si>
  <si>
    <t xml:space="preserve">• Recomendado: antes de sumarlos, enviá un email de bienvenida/re-confirmación (doble opt-in).</t>
  </si>
  <si>
    <t xml:space="preserve">• 'origen' indica de qué archivo/hoja salió cada contacto; 'etiquetas' sirve para segmentar en la plataforma.</t>
  </si>
  <si>
    <t xml:space="preserve">• Para importar a MailerLite/Brevo usá el archivo CSV (newsletter_base_consolidada.csv).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</si>
</sst>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44444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4A38"/>
        <bgColor rgb="FF444444"/>
      </patternFill>
    </fill>
    <fill>
      <patternFill patternType="solid">
        <fgColor rgb="FFFFF3B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E4A3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B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E4A38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4" min="3" style="0" width="16"/>
    <col collapsed="false" customWidth="true" hidden="false" outlineLevel="0" max="5" min="5" style="0" width="20"/>
    <col collapsed="false" customWidth="true" hidden="false" outlineLevel="0" max="6" min="6" style="0" width="42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/>
      <c r="D2" s="2" t="s">
        <v>10</v>
      </c>
      <c r="E2" s="2" t="s">
        <v>11</v>
      </c>
      <c r="F2" s="2" t="s">
        <v>12</v>
      </c>
      <c r="G2" s="2" t="s">
        <v>13</v>
      </c>
      <c r="H2" s="3"/>
    </row>
    <row r="3" customFormat="false" ht="15" hidden="false" customHeight="false" outlineLevel="0" collapsed="false">
      <c r="A3" s="2" t="s">
        <v>14</v>
      </c>
      <c r="B3" s="2" t="s">
        <v>15</v>
      </c>
      <c r="C3" s="2"/>
      <c r="D3" s="2" t="s">
        <v>16</v>
      </c>
      <c r="E3" s="2" t="s">
        <v>17</v>
      </c>
      <c r="F3" s="2" t="s">
        <v>12</v>
      </c>
      <c r="G3" s="2" t="s">
        <v>13</v>
      </c>
      <c r="H3" s="3"/>
    </row>
    <row r="4" customFormat="false" ht="15" hidden="false" customHeight="false" outlineLevel="0" collapsed="false">
      <c r="A4" s="2" t="s">
        <v>18</v>
      </c>
      <c r="B4" s="2" t="s">
        <v>19</v>
      </c>
      <c r="C4" s="2"/>
      <c r="D4" s="2" t="s">
        <v>20</v>
      </c>
      <c r="E4" s="2"/>
      <c r="F4" s="2" t="s">
        <v>21</v>
      </c>
      <c r="G4" s="2" t="s">
        <v>22</v>
      </c>
      <c r="H4" s="3"/>
    </row>
    <row r="5" customFormat="false" ht="15" hidden="false" customHeight="false" outlineLevel="0" collapsed="false">
      <c r="A5" s="2" t="s">
        <v>23</v>
      </c>
      <c r="B5" s="2" t="s">
        <v>24</v>
      </c>
      <c r="C5" s="2"/>
      <c r="D5" s="2" t="s">
        <v>25</v>
      </c>
      <c r="E5" s="2"/>
      <c r="F5" s="2" t="s">
        <v>21</v>
      </c>
      <c r="G5" s="2" t="s">
        <v>22</v>
      </c>
      <c r="H5" s="3"/>
    </row>
    <row r="6" customFormat="false" ht="15" hidden="false" customHeight="false" outlineLevel="0" collapsed="false">
      <c r="A6" s="2" t="s">
        <v>26</v>
      </c>
      <c r="B6" s="2" t="s">
        <v>27</v>
      </c>
      <c r="C6" s="2"/>
      <c r="D6" s="2" t="s">
        <v>28</v>
      </c>
      <c r="E6" s="2"/>
      <c r="F6" s="2" t="s">
        <v>21</v>
      </c>
      <c r="G6" s="2" t="s">
        <v>22</v>
      </c>
      <c r="H6" s="3"/>
    </row>
    <row r="7" customFormat="false" ht="15" hidden="false" customHeight="false" outlineLevel="0" collapsed="false">
      <c r="A7" s="2" t="s">
        <v>29</v>
      </c>
      <c r="B7" s="2" t="s">
        <v>30</v>
      </c>
      <c r="C7" s="2"/>
      <c r="D7" s="2" t="s">
        <v>31</v>
      </c>
      <c r="E7" s="2"/>
      <c r="F7" s="2" t="s">
        <v>21</v>
      </c>
      <c r="G7" s="2" t="s">
        <v>22</v>
      </c>
      <c r="H7" s="3"/>
    </row>
    <row r="8" customFormat="false" ht="15" hidden="false" customHeight="false" outlineLevel="0" collapsed="false">
      <c r="A8" s="2" t="s">
        <v>32</v>
      </c>
      <c r="B8" s="2" t="s">
        <v>33</v>
      </c>
      <c r="C8" s="2"/>
      <c r="D8" s="2" t="s">
        <v>34</v>
      </c>
      <c r="E8" s="2"/>
      <c r="F8" s="2" t="s">
        <v>21</v>
      </c>
      <c r="G8" s="2" t="s">
        <v>22</v>
      </c>
      <c r="H8" s="3"/>
    </row>
    <row r="9" customFormat="false" ht="15" hidden="false" customHeight="false" outlineLevel="0" collapsed="false">
      <c r="A9" s="2" t="s">
        <v>35</v>
      </c>
      <c r="B9" s="2" t="s">
        <v>36</v>
      </c>
      <c r="C9" s="2"/>
      <c r="D9" s="2" t="s">
        <v>37</v>
      </c>
      <c r="E9" s="2"/>
      <c r="F9" s="2" t="s">
        <v>21</v>
      </c>
      <c r="G9" s="2" t="s">
        <v>22</v>
      </c>
      <c r="H9" s="3"/>
    </row>
    <row r="10" customFormat="false" ht="15" hidden="false" customHeight="false" outlineLevel="0" collapsed="false">
      <c r="A10" s="2" t="s">
        <v>38</v>
      </c>
      <c r="B10" s="2" t="s">
        <v>39</v>
      </c>
      <c r="C10" s="2" t="s">
        <v>40</v>
      </c>
      <c r="D10" s="2"/>
      <c r="E10" s="2"/>
      <c r="F10" s="2" t="s">
        <v>41</v>
      </c>
      <c r="G10" s="2" t="s">
        <v>42</v>
      </c>
      <c r="H10" s="3"/>
    </row>
    <row r="11" customFormat="false" ht="15" hidden="false" customHeight="false" outlineLevel="0" collapsed="false">
      <c r="A11" s="2" t="s">
        <v>43</v>
      </c>
      <c r="B11" s="2" t="s">
        <v>44</v>
      </c>
      <c r="C11" s="2"/>
      <c r="D11" s="2" t="s">
        <v>45</v>
      </c>
      <c r="E11" s="2" t="s">
        <v>46</v>
      </c>
      <c r="F11" s="2" t="s">
        <v>12</v>
      </c>
      <c r="G11" s="2" t="s">
        <v>13</v>
      </c>
      <c r="H11" s="3"/>
    </row>
    <row r="12" customFormat="false" ht="15" hidden="false" customHeight="false" outlineLevel="0" collapsed="false">
      <c r="A12" s="2" t="s">
        <v>47</v>
      </c>
      <c r="B12" s="2" t="s">
        <v>48</v>
      </c>
      <c r="C12" s="2"/>
      <c r="D12" s="2" t="s">
        <v>49</v>
      </c>
      <c r="E12" s="2"/>
      <c r="F12" s="2" t="s">
        <v>21</v>
      </c>
      <c r="G12" s="2" t="s">
        <v>22</v>
      </c>
      <c r="H12" s="3"/>
    </row>
    <row r="13" customFormat="false" ht="15" hidden="false" customHeight="false" outlineLevel="0" collapsed="false">
      <c r="A13" s="2" t="s">
        <v>50</v>
      </c>
      <c r="B13" s="2" t="s">
        <v>51</v>
      </c>
      <c r="C13" s="2"/>
      <c r="D13" s="2" t="s">
        <v>52</v>
      </c>
      <c r="E13" s="2"/>
      <c r="F13" s="2" t="s">
        <v>21</v>
      </c>
      <c r="G13" s="2" t="s">
        <v>22</v>
      </c>
      <c r="H13" s="3"/>
    </row>
    <row r="14" customFormat="false" ht="15" hidden="false" customHeight="false" outlineLevel="0" collapsed="false">
      <c r="A14" s="2" t="s">
        <v>53</v>
      </c>
      <c r="B14" s="2" t="s">
        <v>54</v>
      </c>
      <c r="C14" s="2"/>
      <c r="D14" s="2" t="s">
        <v>55</v>
      </c>
      <c r="E14" s="2"/>
      <c r="F14" s="2" t="s">
        <v>21</v>
      </c>
      <c r="G14" s="2" t="s">
        <v>22</v>
      </c>
      <c r="H14" s="3"/>
    </row>
    <row r="15" customFormat="false" ht="15" hidden="false" customHeight="false" outlineLevel="0" collapsed="false">
      <c r="A15" s="2" t="s">
        <v>56</v>
      </c>
      <c r="B15" s="2" t="s">
        <v>57</v>
      </c>
      <c r="C15" s="2" t="s">
        <v>58</v>
      </c>
      <c r="D15" s="2"/>
      <c r="E15" s="2"/>
      <c r="F15" s="2" t="s">
        <v>59</v>
      </c>
      <c r="G15" s="2" t="s">
        <v>42</v>
      </c>
      <c r="H15" s="3"/>
    </row>
    <row r="16" customFormat="false" ht="15" hidden="false" customHeight="false" outlineLevel="0" collapsed="false">
      <c r="A16" s="2" t="s">
        <v>60</v>
      </c>
      <c r="B16" s="2" t="s">
        <v>61</v>
      </c>
      <c r="C16" s="2" t="s">
        <v>62</v>
      </c>
      <c r="D16" s="2"/>
      <c r="E16" s="2"/>
      <c r="F16" s="2" t="s">
        <v>59</v>
      </c>
      <c r="G16" s="2" t="s">
        <v>42</v>
      </c>
      <c r="H16" s="3"/>
    </row>
    <row r="17" customFormat="false" ht="15" hidden="false" customHeight="false" outlineLevel="0" collapsed="false">
      <c r="A17" s="2" t="s">
        <v>63</v>
      </c>
      <c r="B17" s="2" t="s">
        <v>64</v>
      </c>
      <c r="C17" s="2"/>
      <c r="D17" s="2" t="s">
        <v>65</v>
      </c>
      <c r="E17" s="2"/>
      <c r="F17" s="2" t="s">
        <v>66</v>
      </c>
      <c r="G17" s="2" t="s">
        <v>42</v>
      </c>
      <c r="H17" s="3"/>
    </row>
    <row r="18" customFormat="false" ht="15" hidden="false" customHeight="false" outlineLevel="0" collapsed="false">
      <c r="A18" s="2" t="s">
        <v>67</v>
      </c>
      <c r="B18" s="2" t="s">
        <v>68</v>
      </c>
      <c r="C18" s="2"/>
      <c r="D18" s="2" t="s">
        <v>69</v>
      </c>
      <c r="E18" s="2"/>
      <c r="F18" s="2" t="s">
        <v>21</v>
      </c>
      <c r="G18" s="2" t="s">
        <v>22</v>
      </c>
      <c r="H18" s="3"/>
    </row>
    <row r="19" customFormat="false" ht="15" hidden="false" customHeight="false" outlineLevel="0" collapsed="false">
      <c r="A19" s="2" t="s">
        <v>70</v>
      </c>
      <c r="B19" s="2" t="s">
        <v>71</v>
      </c>
      <c r="C19" s="2"/>
      <c r="D19" s="2" t="s">
        <v>72</v>
      </c>
      <c r="E19" s="2"/>
      <c r="F19" s="2" t="s">
        <v>21</v>
      </c>
      <c r="G19" s="2" t="s">
        <v>22</v>
      </c>
      <c r="H19" s="3"/>
    </row>
    <row r="20" customFormat="false" ht="15" hidden="false" customHeight="false" outlineLevel="0" collapsed="false">
      <c r="A20" s="2" t="s">
        <v>73</v>
      </c>
      <c r="B20" s="2" t="s">
        <v>74</v>
      </c>
      <c r="C20" s="2" t="s">
        <v>75</v>
      </c>
      <c r="D20" s="2"/>
      <c r="E20" s="2"/>
      <c r="F20" s="2" t="s">
        <v>59</v>
      </c>
      <c r="G20" s="2" t="s">
        <v>42</v>
      </c>
      <c r="H20" s="3"/>
    </row>
    <row r="21" customFormat="false" ht="15" hidden="false" customHeight="false" outlineLevel="0" collapsed="false">
      <c r="A21" s="2" t="s">
        <v>76</v>
      </c>
      <c r="B21" s="2" t="s">
        <v>77</v>
      </c>
      <c r="C21" s="2"/>
      <c r="D21" s="2" t="s">
        <v>78</v>
      </c>
      <c r="E21" s="2" t="s">
        <v>79</v>
      </c>
      <c r="F21" s="2" t="s">
        <v>12</v>
      </c>
      <c r="G21" s="2" t="s">
        <v>13</v>
      </c>
      <c r="H21" s="3"/>
    </row>
    <row r="22" customFormat="false" ht="15" hidden="false" customHeight="false" outlineLevel="0" collapsed="false">
      <c r="A22" s="2" t="s">
        <v>80</v>
      </c>
      <c r="B22" s="2" t="s">
        <v>81</v>
      </c>
      <c r="C22" s="2" t="s">
        <v>82</v>
      </c>
      <c r="D22" s="2" t="s">
        <v>83</v>
      </c>
      <c r="E22" s="2"/>
      <c r="F22" s="2" t="s">
        <v>84</v>
      </c>
      <c r="G22" s="2" t="s">
        <v>42</v>
      </c>
      <c r="H22" s="3"/>
    </row>
    <row r="23" customFormat="false" ht="15" hidden="false" customHeight="false" outlineLevel="0" collapsed="false">
      <c r="A23" s="2" t="s">
        <v>85</v>
      </c>
      <c r="B23" s="2" t="s">
        <v>86</v>
      </c>
      <c r="C23" s="2"/>
      <c r="D23" s="2" t="s">
        <v>86</v>
      </c>
      <c r="E23" s="2"/>
      <c r="F23" s="2" t="s">
        <v>87</v>
      </c>
      <c r="G23" s="2" t="s">
        <v>88</v>
      </c>
      <c r="H23" s="3"/>
    </row>
    <row r="24" customFormat="false" ht="15" hidden="false" customHeight="false" outlineLevel="0" collapsed="false">
      <c r="A24" s="2" t="s">
        <v>89</v>
      </c>
      <c r="B24" s="2" t="s">
        <v>90</v>
      </c>
      <c r="C24" s="2" t="s">
        <v>91</v>
      </c>
      <c r="D24" s="2"/>
      <c r="E24" s="2"/>
      <c r="F24" s="2" t="s">
        <v>59</v>
      </c>
      <c r="G24" s="2" t="s">
        <v>42</v>
      </c>
      <c r="H24" s="3"/>
    </row>
    <row r="25" customFormat="false" ht="15" hidden="false" customHeight="false" outlineLevel="0" collapsed="false">
      <c r="A25" s="2" t="s">
        <v>92</v>
      </c>
      <c r="B25" s="2" t="s">
        <v>93</v>
      </c>
      <c r="C25" s="2"/>
      <c r="D25" s="2"/>
      <c r="E25" s="2"/>
      <c r="F25" s="2" t="s">
        <v>59</v>
      </c>
      <c r="G25" s="2" t="s">
        <v>42</v>
      </c>
      <c r="H25" s="3"/>
    </row>
    <row r="26" customFormat="false" ht="15" hidden="false" customHeight="false" outlineLevel="0" collapsed="false">
      <c r="A26" s="2" t="s">
        <v>94</v>
      </c>
      <c r="B26" s="2" t="s">
        <v>95</v>
      </c>
      <c r="C26" s="2"/>
      <c r="D26" s="2" t="s">
        <v>96</v>
      </c>
      <c r="E26" s="2"/>
      <c r="F26" s="2" t="s">
        <v>97</v>
      </c>
      <c r="G26" s="2" t="s">
        <v>42</v>
      </c>
      <c r="H26" s="3"/>
    </row>
    <row r="27" customFormat="false" ht="15" hidden="false" customHeight="false" outlineLevel="0" collapsed="false">
      <c r="A27" s="2" t="s">
        <v>98</v>
      </c>
      <c r="B27" s="2" t="s">
        <v>99</v>
      </c>
      <c r="C27" s="2" t="s">
        <v>100</v>
      </c>
      <c r="D27" s="2"/>
      <c r="E27" s="2"/>
      <c r="F27" s="2" t="s">
        <v>59</v>
      </c>
      <c r="G27" s="2" t="s">
        <v>42</v>
      </c>
      <c r="H27" s="3"/>
    </row>
    <row r="28" customFormat="false" ht="15" hidden="false" customHeight="false" outlineLevel="0" collapsed="false">
      <c r="A28" s="2" t="s">
        <v>101</v>
      </c>
      <c r="B28" s="2" t="s">
        <v>102</v>
      </c>
      <c r="C28" s="2"/>
      <c r="D28" s="2" t="s">
        <v>103</v>
      </c>
      <c r="E28" s="2"/>
      <c r="F28" s="2" t="s">
        <v>21</v>
      </c>
      <c r="G28" s="2" t="s">
        <v>22</v>
      </c>
      <c r="H28" s="3"/>
    </row>
    <row r="29" customFormat="false" ht="15" hidden="false" customHeight="false" outlineLevel="0" collapsed="false">
      <c r="A29" s="2" t="s">
        <v>104</v>
      </c>
      <c r="B29" s="2" t="s">
        <v>105</v>
      </c>
      <c r="C29" s="2"/>
      <c r="D29" s="2" t="s">
        <v>106</v>
      </c>
      <c r="E29" s="2"/>
      <c r="F29" s="2" t="s">
        <v>21</v>
      </c>
      <c r="G29" s="2" t="s">
        <v>22</v>
      </c>
      <c r="H29" s="3"/>
    </row>
    <row r="30" customFormat="false" ht="15" hidden="false" customHeight="false" outlineLevel="0" collapsed="false">
      <c r="A30" s="2" t="s">
        <v>107</v>
      </c>
      <c r="B30" s="2" t="s">
        <v>108</v>
      </c>
      <c r="C30" s="2" t="s">
        <v>109</v>
      </c>
      <c r="D30" s="2"/>
      <c r="E30" s="2"/>
      <c r="F30" s="2" t="s">
        <v>59</v>
      </c>
      <c r="G30" s="2" t="s">
        <v>42</v>
      </c>
      <c r="H30" s="3"/>
    </row>
    <row r="31" customFormat="false" ht="15" hidden="false" customHeight="false" outlineLevel="0" collapsed="false">
      <c r="A31" s="2" t="s">
        <v>110</v>
      </c>
      <c r="B31" s="2" t="s">
        <v>111</v>
      </c>
      <c r="C31" s="2" t="s">
        <v>112</v>
      </c>
      <c r="D31" s="2"/>
      <c r="E31" s="2"/>
      <c r="F31" s="2" t="s">
        <v>59</v>
      </c>
      <c r="G31" s="2" t="s">
        <v>42</v>
      </c>
      <c r="H31" s="3"/>
    </row>
    <row r="32" customFormat="false" ht="15" hidden="false" customHeight="false" outlineLevel="0" collapsed="false">
      <c r="A32" s="2" t="s">
        <v>113</v>
      </c>
      <c r="B32" s="2" t="s">
        <v>114</v>
      </c>
      <c r="C32" s="2"/>
      <c r="D32" s="2" t="s">
        <v>115</v>
      </c>
      <c r="E32" s="2"/>
      <c r="F32" s="2" t="s">
        <v>116</v>
      </c>
      <c r="G32" s="2" t="s">
        <v>117</v>
      </c>
      <c r="H32" s="3"/>
    </row>
    <row r="33" customFormat="false" ht="15" hidden="false" customHeight="false" outlineLevel="0" collapsed="false">
      <c r="A33" s="2" t="s">
        <v>118</v>
      </c>
      <c r="B33" s="2" t="s">
        <v>119</v>
      </c>
      <c r="C33" s="2"/>
      <c r="D33" s="2" t="s">
        <v>120</v>
      </c>
      <c r="E33" s="2"/>
      <c r="F33" s="2" t="s">
        <v>97</v>
      </c>
      <c r="G33" s="2" t="s">
        <v>42</v>
      </c>
      <c r="H33" s="3"/>
    </row>
    <row r="34" customFormat="false" ht="15" hidden="false" customHeight="false" outlineLevel="0" collapsed="false">
      <c r="A34" s="2" t="s">
        <v>121</v>
      </c>
      <c r="B34" s="2" t="s">
        <v>122</v>
      </c>
      <c r="C34" s="2"/>
      <c r="D34" s="2" t="s">
        <v>123</v>
      </c>
      <c r="E34" s="2"/>
      <c r="F34" s="2" t="s">
        <v>21</v>
      </c>
      <c r="G34" s="2" t="s">
        <v>22</v>
      </c>
      <c r="H34" s="3"/>
    </row>
    <row r="35" customFormat="false" ht="15" hidden="false" customHeight="false" outlineLevel="0" collapsed="false">
      <c r="A35" s="2" t="s">
        <v>124</v>
      </c>
      <c r="B35" s="2" t="s">
        <v>125</v>
      </c>
      <c r="C35" s="2" t="s">
        <v>126</v>
      </c>
      <c r="D35" s="2"/>
      <c r="E35" s="2"/>
      <c r="F35" s="2" t="s">
        <v>41</v>
      </c>
      <c r="G35" s="2" t="s">
        <v>42</v>
      </c>
      <c r="H35" s="3"/>
    </row>
    <row r="36" customFormat="false" ht="15" hidden="false" customHeight="false" outlineLevel="0" collapsed="false">
      <c r="A36" s="2" t="s">
        <v>127</v>
      </c>
      <c r="B36" s="2" t="s">
        <v>128</v>
      </c>
      <c r="C36" s="2"/>
      <c r="D36" s="2" t="s">
        <v>129</v>
      </c>
      <c r="E36" s="2"/>
      <c r="F36" s="2" t="s">
        <v>116</v>
      </c>
      <c r="G36" s="2" t="s">
        <v>117</v>
      </c>
      <c r="H36" s="3"/>
    </row>
    <row r="37" customFormat="false" ht="15" hidden="false" customHeight="false" outlineLevel="0" collapsed="false">
      <c r="A37" s="2" t="s">
        <v>130</v>
      </c>
      <c r="B37" s="2" t="s">
        <v>131</v>
      </c>
      <c r="C37" s="2"/>
      <c r="D37" s="2" t="s">
        <v>131</v>
      </c>
      <c r="E37" s="2"/>
      <c r="F37" s="2" t="s">
        <v>87</v>
      </c>
      <c r="G37" s="2" t="s">
        <v>88</v>
      </c>
      <c r="H37" s="3"/>
    </row>
    <row r="38" customFormat="false" ht="15" hidden="false" customHeight="false" outlineLevel="0" collapsed="false">
      <c r="A38" s="2" t="s">
        <v>132</v>
      </c>
      <c r="B38" s="2" t="s">
        <v>133</v>
      </c>
      <c r="C38" s="2"/>
      <c r="D38" s="2" t="s">
        <v>134</v>
      </c>
      <c r="E38" s="2" t="s">
        <v>135</v>
      </c>
      <c r="F38" s="2" t="s">
        <v>12</v>
      </c>
      <c r="G38" s="2" t="s">
        <v>13</v>
      </c>
      <c r="H38" s="3"/>
    </row>
    <row r="39" customFormat="false" ht="15" hidden="false" customHeight="false" outlineLevel="0" collapsed="false">
      <c r="A39" s="2" t="s">
        <v>136</v>
      </c>
      <c r="B39" s="2" t="s">
        <v>137</v>
      </c>
      <c r="C39" s="2" t="s">
        <v>138</v>
      </c>
      <c r="D39" s="2"/>
      <c r="E39" s="2"/>
      <c r="F39" s="2" t="s">
        <v>59</v>
      </c>
      <c r="G39" s="2" t="s">
        <v>42</v>
      </c>
      <c r="H39" s="3"/>
    </row>
    <row r="40" customFormat="false" ht="15" hidden="false" customHeight="false" outlineLevel="0" collapsed="false">
      <c r="A40" s="2" t="s">
        <v>139</v>
      </c>
      <c r="B40" s="2" t="s">
        <v>140</v>
      </c>
      <c r="C40" s="2"/>
      <c r="D40" s="2" t="s">
        <v>141</v>
      </c>
      <c r="E40" s="2" t="s">
        <v>142</v>
      </c>
      <c r="F40" s="2" t="s">
        <v>12</v>
      </c>
      <c r="G40" s="2" t="s">
        <v>13</v>
      </c>
      <c r="H40" s="3"/>
    </row>
    <row r="41" customFormat="false" ht="15" hidden="false" customHeight="false" outlineLevel="0" collapsed="false">
      <c r="A41" s="2" t="s">
        <v>143</v>
      </c>
      <c r="B41" s="2" t="s">
        <v>144</v>
      </c>
      <c r="C41" s="2"/>
      <c r="D41" s="2" t="s">
        <v>145</v>
      </c>
      <c r="E41" s="2"/>
      <c r="F41" s="2" t="s">
        <v>21</v>
      </c>
      <c r="G41" s="2" t="s">
        <v>22</v>
      </c>
      <c r="H41" s="3"/>
    </row>
    <row r="42" customFormat="false" ht="15" hidden="false" customHeight="false" outlineLevel="0" collapsed="false">
      <c r="A42" s="2" t="s">
        <v>146</v>
      </c>
      <c r="B42" s="2" t="s">
        <v>147</v>
      </c>
      <c r="C42" s="2"/>
      <c r="D42" s="2" t="s">
        <v>148</v>
      </c>
      <c r="E42" s="2"/>
      <c r="F42" s="2" t="s">
        <v>21</v>
      </c>
      <c r="G42" s="2" t="s">
        <v>22</v>
      </c>
      <c r="H42" s="3"/>
    </row>
    <row r="43" customFormat="false" ht="15" hidden="false" customHeight="false" outlineLevel="0" collapsed="false">
      <c r="A43" s="2" t="s">
        <v>149</v>
      </c>
      <c r="B43" s="2" t="s">
        <v>150</v>
      </c>
      <c r="C43" s="2"/>
      <c r="D43" s="2" t="s">
        <v>151</v>
      </c>
      <c r="E43" s="2"/>
      <c r="F43" s="2" t="s">
        <v>21</v>
      </c>
      <c r="G43" s="2" t="s">
        <v>22</v>
      </c>
      <c r="H43" s="3"/>
    </row>
    <row r="44" customFormat="false" ht="15" hidden="false" customHeight="false" outlineLevel="0" collapsed="false">
      <c r="A44" s="2" t="s">
        <v>152</v>
      </c>
      <c r="B44" s="2" t="s">
        <v>153</v>
      </c>
      <c r="C44" s="2"/>
      <c r="D44" s="2" t="s">
        <v>154</v>
      </c>
      <c r="E44" s="2" t="s">
        <v>155</v>
      </c>
      <c r="F44" s="2" t="s">
        <v>12</v>
      </c>
      <c r="G44" s="2" t="s">
        <v>13</v>
      </c>
      <c r="H44" s="3"/>
    </row>
    <row r="45" customFormat="false" ht="15" hidden="false" customHeight="false" outlineLevel="0" collapsed="false">
      <c r="A45" s="2" t="s">
        <v>156</v>
      </c>
      <c r="B45" s="2" t="s">
        <v>157</v>
      </c>
      <c r="C45" s="2" t="s">
        <v>158</v>
      </c>
      <c r="D45" s="2" t="s">
        <v>159</v>
      </c>
      <c r="E45" s="2"/>
      <c r="F45" s="2" t="s">
        <v>84</v>
      </c>
      <c r="G45" s="2" t="s">
        <v>42</v>
      </c>
      <c r="H45" s="3"/>
    </row>
    <row r="46" customFormat="false" ht="15" hidden="false" customHeight="false" outlineLevel="0" collapsed="false">
      <c r="A46" s="2" t="s">
        <v>160</v>
      </c>
      <c r="B46" s="2" t="s">
        <v>161</v>
      </c>
      <c r="C46" s="2"/>
      <c r="D46" s="2" t="s">
        <v>162</v>
      </c>
      <c r="E46" s="2" t="s">
        <v>163</v>
      </c>
      <c r="F46" s="2" t="s">
        <v>12</v>
      </c>
      <c r="G46" s="2" t="s">
        <v>13</v>
      </c>
      <c r="H46" s="3"/>
    </row>
    <row r="47" customFormat="false" ht="15" hidden="false" customHeight="false" outlineLevel="0" collapsed="false">
      <c r="A47" s="2" t="s">
        <v>164</v>
      </c>
      <c r="B47" s="2" t="s">
        <v>165</v>
      </c>
      <c r="C47" s="2"/>
      <c r="D47" s="2" t="s">
        <v>166</v>
      </c>
      <c r="E47" s="2"/>
      <c r="F47" s="2" t="s">
        <v>21</v>
      </c>
      <c r="G47" s="2" t="s">
        <v>22</v>
      </c>
      <c r="H47" s="3"/>
    </row>
    <row r="48" customFormat="false" ht="15" hidden="false" customHeight="false" outlineLevel="0" collapsed="false">
      <c r="A48" s="2" t="s">
        <v>167</v>
      </c>
      <c r="B48" s="2" t="s">
        <v>168</v>
      </c>
      <c r="C48" s="2"/>
      <c r="D48" s="2" t="s">
        <v>169</v>
      </c>
      <c r="E48" s="2"/>
      <c r="F48" s="2" t="s">
        <v>21</v>
      </c>
      <c r="G48" s="2" t="s">
        <v>22</v>
      </c>
      <c r="H48" s="3"/>
    </row>
    <row r="49" customFormat="false" ht="15" hidden="false" customHeight="false" outlineLevel="0" collapsed="false">
      <c r="A49" s="2" t="s">
        <v>170</v>
      </c>
      <c r="B49" s="2" t="s">
        <v>171</v>
      </c>
      <c r="C49" s="2"/>
      <c r="D49" s="2" t="s">
        <v>172</v>
      </c>
      <c r="E49" s="2" t="s">
        <v>173</v>
      </c>
      <c r="F49" s="2" t="s">
        <v>12</v>
      </c>
      <c r="G49" s="2" t="s">
        <v>13</v>
      </c>
      <c r="H49" s="3"/>
    </row>
    <row r="50" customFormat="false" ht="15" hidden="false" customHeight="false" outlineLevel="0" collapsed="false">
      <c r="A50" s="2" t="s">
        <v>174</v>
      </c>
      <c r="B50" s="2" t="s">
        <v>175</v>
      </c>
      <c r="C50" s="2"/>
      <c r="D50" s="2" t="s">
        <v>176</v>
      </c>
      <c r="E50" s="2"/>
      <c r="F50" s="2" t="s">
        <v>21</v>
      </c>
      <c r="G50" s="2" t="s">
        <v>22</v>
      </c>
      <c r="H50" s="3"/>
    </row>
    <row r="51" customFormat="false" ht="15" hidden="false" customHeight="false" outlineLevel="0" collapsed="false">
      <c r="A51" s="2" t="s">
        <v>177</v>
      </c>
      <c r="B51" s="2" t="s">
        <v>178</v>
      </c>
      <c r="C51" s="2"/>
      <c r="D51" s="2"/>
      <c r="E51" s="2"/>
      <c r="F51" s="2" t="s">
        <v>59</v>
      </c>
      <c r="G51" s="2" t="s">
        <v>42</v>
      </c>
      <c r="H51" s="3"/>
    </row>
    <row r="52" customFormat="false" ht="15" hidden="false" customHeight="false" outlineLevel="0" collapsed="false">
      <c r="A52" s="2" t="s">
        <v>179</v>
      </c>
      <c r="B52" s="2" t="s">
        <v>114</v>
      </c>
      <c r="C52" s="2"/>
      <c r="D52" s="2" t="s">
        <v>180</v>
      </c>
      <c r="E52" s="2"/>
      <c r="F52" s="2" t="s">
        <v>181</v>
      </c>
      <c r="G52" s="2" t="s">
        <v>182</v>
      </c>
      <c r="H52" s="3"/>
    </row>
    <row r="53" customFormat="false" ht="15" hidden="false" customHeight="false" outlineLevel="0" collapsed="false">
      <c r="A53" s="2" t="s">
        <v>183</v>
      </c>
      <c r="B53" s="2" t="s">
        <v>184</v>
      </c>
      <c r="C53" s="2"/>
      <c r="D53" s="2" t="s">
        <v>185</v>
      </c>
      <c r="E53" s="2"/>
      <c r="F53" s="2" t="s">
        <v>186</v>
      </c>
      <c r="G53" s="2" t="s">
        <v>88</v>
      </c>
      <c r="H53" s="3"/>
    </row>
    <row r="54" customFormat="false" ht="15" hidden="false" customHeight="false" outlineLevel="0" collapsed="false">
      <c r="A54" s="2" t="s">
        <v>187</v>
      </c>
      <c r="B54" s="2" t="s">
        <v>188</v>
      </c>
      <c r="C54" s="2"/>
      <c r="D54" s="2" t="s">
        <v>189</v>
      </c>
      <c r="E54" s="2" t="s">
        <v>190</v>
      </c>
      <c r="F54" s="2" t="s">
        <v>12</v>
      </c>
      <c r="G54" s="2" t="s">
        <v>13</v>
      </c>
      <c r="H54" s="3"/>
    </row>
    <row r="55" customFormat="false" ht="15" hidden="false" customHeight="false" outlineLevel="0" collapsed="false">
      <c r="A55" s="2" t="s">
        <v>191</v>
      </c>
      <c r="B55" s="2" t="s">
        <v>192</v>
      </c>
      <c r="C55" s="2" t="s">
        <v>193</v>
      </c>
      <c r="D55" s="2"/>
      <c r="E55" s="2"/>
      <c r="F55" s="2" t="s">
        <v>59</v>
      </c>
      <c r="G55" s="2" t="s">
        <v>42</v>
      </c>
      <c r="H55" s="3"/>
    </row>
    <row r="56" customFormat="false" ht="15" hidden="false" customHeight="false" outlineLevel="0" collapsed="false">
      <c r="A56" s="2" t="s">
        <v>194</v>
      </c>
      <c r="B56" s="2" t="s">
        <v>195</v>
      </c>
      <c r="C56" s="2" t="s">
        <v>196</v>
      </c>
      <c r="D56" s="2"/>
      <c r="E56" s="2"/>
      <c r="F56" s="2" t="s">
        <v>59</v>
      </c>
      <c r="G56" s="2" t="s">
        <v>42</v>
      </c>
      <c r="H56" s="3"/>
    </row>
    <row r="57" customFormat="false" ht="15" hidden="false" customHeight="false" outlineLevel="0" collapsed="false">
      <c r="A57" s="2" t="s">
        <v>197</v>
      </c>
      <c r="B57" s="2" t="s">
        <v>198</v>
      </c>
      <c r="C57" s="2" t="s">
        <v>199</v>
      </c>
      <c r="D57" s="2"/>
      <c r="E57" s="2"/>
      <c r="F57" s="2" t="s">
        <v>84</v>
      </c>
      <c r="G57" s="2" t="s">
        <v>42</v>
      </c>
      <c r="H57" s="3"/>
    </row>
    <row r="58" customFormat="false" ht="15" hidden="false" customHeight="false" outlineLevel="0" collapsed="false">
      <c r="A58" s="2" t="s">
        <v>200</v>
      </c>
      <c r="B58" s="2" t="s">
        <v>201</v>
      </c>
      <c r="C58" s="2"/>
      <c r="D58" s="2" t="s">
        <v>202</v>
      </c>
      <c r="E58" s="2"/>
      <c r="F58" s="2" t="s">
        <v>21</v>
      </c>
      <c r="G58" s="2" t="s">
        <v>22</v>
      </c>
      <c r="H58" s="3"/>
    </row>
    <row r="59" customFormat="false" ht="15" hidden="false" customHeight="false" outlineLevel="0" collapsed="false">
      <c r="A59" s="2" t="s">
        <v>203</v>
      </c>
      <c r="B59" s="2" t="s">
        <v>204</v>
      </c>
      <c r="C59" s="2"/>
      <c r="D59" s="2" t="s">
        <v>205</v>
      </c>
      <c r="E59" s="2" t="s">
        <v>206</v>
      </c>
      <c r="F59" s="2" t="s">
        <v>12</v>
      </c>
      <c r="G59" s="2" t="s">
        <v>13</v>
      </c>
      <c r="H59" s="3"/>
    </row>
    <row r="60" customFormat="false" ht="15" hidden="false" customHeight="false" outlineLevel="0" collapsed="false">
      <c r="A60" s="2" t="s">
        <v>207</v>
      </c>
      <c r="B60" s="2" t="s">
        <v>208</v>
      </c>
      <c r="C60" s="2"/>
      <c r="D60" s="2" t="s">
        <v>209</v>
      </c>
      <c r="E60" s="2"/>
      <c r="F60" s="2" t="s">
        <v>21</v>
      </c>
      <c r="G60" s="2" t="s">
        <v>22</v>
      </c>
      <c r="H60" s="3"/>
    </row>
    <row r="61" customFormat="false" ht="15" hidden="false" customHeight="false" outlineLevel="0" collapsed="false">
      <c r="A61" s="2" t="s">
        <v>210</v>
      </c>
      <c r="B61" s="2" t="s">
        <v>211</v>
      </c>
      <c r="C61" s="2"/>
      <c r="D61" s="2" t="s">
        <v>212</v>
      </c>
      <c r="E61" s="2"/>
      <c r="F61" s="2" t="s">
        <v>97</v>
      </c>
      <c r="G61" s="2" t="s">
        <v>42</v>
      </c>
      <c r="H61" s="3"/>
    </row>
    <row r="62" customFormat="false" ht="15" hidden="false" customHeight="false" outlineLevel="0" collapsed="false">
      <c r="A62" s="2" t="s">
        <v>213</v>
      </c>
      <c r="B62" s="2" t="s">
        <v>214</v>
      </c>
      <c r="C62" s="2"/>
      <c r="D62" s="2" t="s">
        <v>215</v>
      </c>
      <c r="E62" s="2"/>
      <c r="F62" s="2" t="s">
        <v>116</v>
      </c>
      <c r="G62" s="2" t="s">
        <v>117</v>
      </c>
      <c r="H62" s="3"/>
    </row>
    <row r="63" customFormat="false" ht="15" hidden="false" customHeight="false" outlineLevel="0" collapsed="false">
      <c r="A63" s="2" t="s">
        <v>216</v>
      </c>
      <c r="B63" s="2" t="s">
        <v>217</v>
      </c>
      <c r="C63" s="2"/>
      <c r="D63" s="2" t="s">
        <v>218</v>
      </c>
      <c r="E63" s="2" t="s">
        <v>219</v>
      </c>
      <c r="F63" s="2" t="s">
        <v>12</v>
      </c>
      <c r="G63" s="2" t="s">
        <v>13</v>
      </c>
      <c r="H63" s="3"/>
    </row>
    <row r="64" customFormat="false" ht="15" hidden="false" customHeight="false" outlineLevel="0" collapsed="false">
      <c r="A64" s="2" t="s">
        <v>220</v>
      </c>
      <c r="B64" s="2" t="s">
        <v>221</v>
      </c>
      <c r="C64" s="2"/>
      <c r="D64" s="2" t="s">
        <v>222</v>
      </c>
      <c r="E64" s="2" t="s">
        <v>223</v>
      </c>
      <c r="F64" s="2" t="s">
        <v>12</v>
      </c>
      <c r="G64" s="2" t="s">
        <v>13</v>
      </c>
      <c r="H64" s="3"/>
    </row>
    <row r="65" customFormat="false" ht="15" hidden="false" customHeight="false" outlineLevel="0" collapsed="false">
      <c r="A65" s="2" t="s">
        <v>224</v>
      </c>
      <c r="B65" s="2" t="s">
        <v>225</v>
      </c>
      <c r="C65" s="2"/>
      <c r="D65" s="2" t="s">
        <v>226</v>
      </c>
      <c r="E65" s="2" t="s">
        <v>227</v>
      </c>
      <c r="F65" s="2" t="s">
        <v>12</v>
      </c>
      <c r="G65" s="2" t="s">
        <v>13</v>
      </c>
      <c r="H65" s="3"/>
    </row>
    <row r="66" customFormat="false" ht="15" hidden="false" customHeight="false" outlineLevel="0" collapsed="false">
      <c r="A66" s="2" t="s">
        <v>228</v>
      </c>
      <c r="B66" s="2" t="s">
        <v>229</v>
      </c>
      <c r="C66" s="2"/>
      <c r="D66" s="2" t="s">
        <v>230</v>
      </c>
      <c r="E66" s="2" t="s">
        <v>231</v>
      </c>
      <c r="F66" s="2" t="s">
        <v>12</v>
      </c>
      <c r="G66" s="2" t="s">
        <v>13</v>
      </c>
      <c r="H66" s="3"/>
    </row>
    <row r="67" customFormat="false" ht="15" hidden="false" customHeight="false" outlineLevel="0" collapsed="false">
      <c r="A67" s="2" t="s">
        <v>232</v>
      </c>
      <c r="B67" s="2" t="s">
        <v>233</v>
      </c>
      <c r="C67" s="2"/>
      <c r="D67" s="2" t="s">
        <v>234</v>
      </c>
      <c r="E67" s="2"/>
      <c r="F67" s="2" t="s">
        <v>21</v>
      </c>
      <c r="G67" s="2" t="s">
        <v>22</v>
      </c>
      <c r="H67" s="3"/>
    </row>
    <row r="68" customFormat="false" ht="15" hidden="false" customHeight="false" outlineLevel="0" collapsed="false">
      <c r="A68" s="2" t="s">
        <v>235</v>
      </c>
      <c r="B68" s="2" t="s">
        <v>236</v>
      </c>
      <c r="C68" s="2"/>
      <c r="D68" s="2" t="s">
        <v>237</v>
      </c>
      <c r="E68" s="2" t="s">
        <v>238</v>
      </c>
      <c r="F68" s="2" t="s">
        <v>12</v>
      </c>
      <c r="G68" s="2" t="s">
        <v>13</v>
      </c>
      <c r="H68" s="3"/>
    </row>
    <row r="69" customFormat="false" ht="15" hidden="false" customHeight="false" outlineLevel="0" collapsed="false">
      <c r="A69" s="2" t="s">
        <v>239</v>
      </c>
      <c r="B69" s="2" t="s">
        <v>240</v>
      </c>
      <c r="C69" s="2"/>
      <c r="D69" s="2" t="s">
        <v>241</v>
      </c>
      <c r="E69" s="2"/>
      <c r="F69" s="2" t="s">
        <v>21</v>
      </c>
      <c r="G69" s="2" t="s">
        <v>22</v>
      </c>
      <c r="H69" s="3"/>
    </row>
    <row r="70" customFormat="false" ht="15" hidden="false" customHeight="false" outlineLevel="0" collapsed="false">
      <c r="A70" s="2" t="s">
        <v>242</v>
      </c>
      <c r="B70" s="2" t="s">
        <v>243</v>
      </c>
      <c r="C70" s="2"/>
      <c r="D70" s="2" t="s">
        <v>244</v>
      </c>
      <c r="E70" s="2" t="s">
        <v>79</v>
      </c>
      <c r="F70" s="2" t="s">
        <v>12</v>
      </c>
      <c r="G70" s="2" t="s">
        <v>13</v>
      </c>
      <c r="H70" s="3"/>
    </row>
    <row r="71" customFormat="false" ht="15" hidden="false" customHeight="false" outlineLevel="0" collapsed="false">
      <c r="A71" s="2" t="s">
        <v>245</v>
      </c>
      <c r="B71" s="2" t="s">
        <v>246</v>
      </c>
      <c r="C71" s="2"/>
      <c r="D71" s="2" t="s">
        <v>247</v>
      </c>
      <c r="E71" s="2"/>
      <c r="F71" s="2" t="s">
        <v>97</v>
      </c>
      <c r="G71" s="2" t="s">
        <v>42</v>
      </c>
      <c r="H71" s="3"/>
    </row>
    <row r="72" customFormat="false" ht="15" hidden="false" customHeight="false" outlineLevel="0" collapsed="false">
      <c r="A72" s="2" t="s">
        <v>248</v>
      </c>
      <c r="B72" s="2" t="s">
        <v>249</v>
      </c>
      <c r="C72" s="2"/>
      <c r="D72" s="2" t="s">
        <v>250</v>
      </c>
      <c r="E72" s="2"/>
      <c r="F72" s="2" t="s">
        <v>21</v>
      </c>
      <c r="G72" s="2" t="s">
        <v>22</v>
      </c>
      <c r="H72" s="3"/>
    </row>
    <row r="73" customFormat="false" ht="15" hidden="false" customHeight="false" outlineLevel="0" collapsed="false">
      <c r="A73" s="2" t="s">
        <v>251</v>
      </c>
      <c r="B73" s="2" t="s">
        <v>252</v>
      </c>
      <c r="C73" s="2"/>
      <c r="D73" s="2" t="s">
        <v>253</v>
      </c>
      <c r="E73" s="2" t="s">
        <v>223</v>
      </c>
      <c r="F73" s="2" t="s">
        <v>12</v>
      </c>
      <c r="G73" s="2" t="s">
        <v>13</v>
      </c>
      <c r="H73" s="3"/>
    </row>
    <row r="74" customFormat="false" ht="15" hidden="false" customHeight="false" outlineLevel="0" collapsed="false">
      <c r="A74" s="2" t="s">
        <v>254</v>
      </c>
      <c r="B74" s="2" t="s">
        <v>255</v>
      </c>
      <c r="C74" s="2"/>
      <c r="D74" s="2" t="s">
        <v>256</v>
      </c>
      <c r="E74" s="2"/>
      <c r="F74" s="2" t="s">
        <v>21</v>
      </c>
      <c r="G74" s="2" t="s">
        <v>22</v>
      </c>
      <c r="H74" s="3"/>
    </row>
    <row r="75" customFormat="false" ht="15" hidden="false" customHeight="false" outlineLevel="0" collapsed="false">
      <c r="A75" s="2" t="s">
        <v>257</v>
      </c>
      <c r="B75" s="2" t="s">
        <v>258</v>
      </c>
      <c r="C75" s="2"/>
      <c r="D75" s="2"/>
      <c r="E75" s="2"/>
      <c r="F75" s="2" t="s">
        <v>259</v>
      </c>
      <c r="G75" s="2" t="s">
        <v>88</v>
      </c>
      <c r="H75" s="3"/>
    </row>
    <row r="76" customFormat="false" ht="15" hidden="false" customHeight="false" outlineLevel="0" collapsed="false">
      <c r="A76" s="2" t="s">
        <v>260</v>
      </c>
      <c r="B76" s="2" t="s">
        <v>261</v>
      </c>
      <c r="C76" s="2" t="s">
        <v>262</v>
      </c>
      <c r="D76" s="2" t="s">
        <v>263</v>
      </c>
      <c r="E76" s="2"/>
      <c r="F76" s="2" t="s">
        <v>84</v>
      </c>
      <c r="G76" s="2" t="s">
        <v>42</v>
      </c>
      <c r="H76" s="3"/>
    </row>
    <row r="77" customFormat="false" ht="15" hidden="false" customHeight="false" outlineLevel="0" collapsed="false">
      <c r="A77" s="2" t="s">
        <v>264</v>
      </c>
      <c r="B77" s="2" t="s">
        <v>265</v>
      </c>
      <c r="C77" s="2"/>
      <c r="D77" s="2" t="s">
        <v>266</v>
      </c>
      <c r="E77" s="2" t="s">
        <v>79</v>
      </c>
      <c r="F77" s="2" t="s">
        <v>12</v>
      </c>
      <c r="G77" s="2" t="s">
        <v>13</v>
      </c>
      <c r="H77" s="3"/>
    </row>
    <row r="78" customFormat="false" ht="15" hidden="false" customHeight="false" outlineLevel="0" collapsed="false">
      <c r="A78" s="2" t="s">
        <v>267</v>
      </c>
      <c r="B78" s="2" t="s">
        <v>268</v>
      </c>
      <c r="C78" s="2"/>
      <c r="D78" s="2" t="s">
        <v>269</v>
      </c>
      <c r="E78" s="2"/>
      <c r="F78" s="2" t="s">
        <v>21</v>
      </c>
      <c r="G78" s="2" t="s">
        <v>22</v>
      </c>
      <c r="H78" s="3"/>
    </row>
    <row r="79" customFormat="false" ht="15" hidden="false" customHeight="false" outlineLevel="0" collapsed="false">
      <c r="A79" s="2" t="s">
        <v>270</v>
      </c>
      <c r="B79" s="2" t="s">
        <v>271</v>
      </c>
      <c r="C79" s="2"/>
      <c r="D79" s="2" t="s">
        <v>272</v>
      </c>
      <c r="E79" s="2"/>
      <c r="F79" s="2" t="s">
        <v>116</v>
      </c>
      <c r="G79" s="2" t="s">
        <v>117</v>
      </c>
      <c r="H79" s="3"/>
    </row>
    <row r="80" customFormat="false" ht="15" hidden="false" customHeight="false" outlineLevel="0" collapsed="false">
      <c r="A80" s="2" t="s">
        <v>273</v>
      </c>
      <c r="B80" s="2" t="s">
        <v>274</v>
      </c>
      <c r="C80" s="2" t="s">
        <v>275</v>
      </c>
      <c r="D80" s="2"/>
      <c r="E80" s="2"/>
      <c r="F80" s="2" t="s">
        <v>59</v>
      </c>
      <c r="G80" s="2" t="s">
        <v>42</v>
      </c>
      <c r="H80" s="3"/>
    </row>
    <row r="81" customFormat="false" ht="15" hidden="false" customHeight="false" outlineLevel="0" collapsed="false">
      <c r="A81" s="2" t="s">
        <v>276</v>
      </c>
      <c r="B81" s="2" t="s">
        <v>277</v>
      </c>
      <c r="C81" s="2" t="s">
        <v>278</v>
      </c>
      <c r="D81" s="2" t="s">
        <v>279</v>
      </c>
      <c r="E81" s="2"/>
      <c r="F81" s="2" t="s">
        <v>59</v>
      </c>
      <c r="G81" s="2" t="s">
        <v>42</v>
      </c>
      <c r="H81" s="3"/>
    </row>
    <row r="82" customFormat="false" ht="15" hidden="false" customHeight="false" outlineLevel="0" collapsed="false">
      <c r="A82" s="2" t="s">
        <v>280</v>
      </c>
      <c r="B82" s="2" t="s">
        <v>281</v>
      </c>
      <c r="C82" s="2"/>
      <c r="D82" s="2" t="s">
        <v>282</v>
      </c>
      <c r="E82" s="2"/>
      <c r="F82" s="2" t="s">
        <v>283</v>
      </c>
      <c r="G82" s="2" t="s">
        <v>88</v>
      </c>
      <c r="H82" s="3"/>
    </row>
    <row r="83" customFormat="false" ht="15" hidden="false" customHeight="false" outlineLevel="0" collapsed="false">
      <c r="A83" s="2" t="s">
        <v>284</v>
      </c>
      <c r="B83" s="2" t="s">
        <v>285</v>
      </c>
      <c r="C83" s="2"/>
      <c r="D83" s="2" t="s">
        <v>286</v>
      </c>
      <c r="E83" s="2"/>
      <c r="F83" s="2" t="s">
        <v>116</v>
      </c>
      <c r="G83" s="2" t="s">
        <v>117</v>
      </c>
      <c r="H83" s="3"/>
    </row>
    <row r="84" customFormat="false" ht="15" hidden="false" customHeight="false" outlineLevel="0" collapsed="false">
      <c r="A84" s="2" t="s">
        <v>287</v>
      </c>
      <c r="B84" s="2" t="s">
        <v>288</v>
      </c>
      <c r="C84" s="2"/>
      <c r="D84" s="2" t="s">
        <v>289</v>
      </c>
      <c r="E84" s="2"/>
      <c r="F84" s="2" t="s">
        <v>66</v>
      </c>
      <c r="G84" s="2" t="s">
        <v>42</v>
      </c>
      <c r="H84" s="3"/>
    </row>
    <row r="85" customFormat="false" ht="15" hidden="false" customHeight="false" outlineLevel="0" collapsed="false">
      <c r="A85" s="2" t="s">
        <v>290</v>
      </c>
      <c r="B85" s="2" t="s">
        <v>291</v>
      </c>
      <c r="C85" s="2"/>
      <c r="D85" s="2" t="s">
        <v>292</v>
      </c>
      <c r="E85" s="2" t="s">
        <v>293</v>
      </c>
      <c r="F85" s="2" t="s">
        <v>12</v>
      </c>
      <c r="G85" s="2" t="s">
        <v>13</v>
      </c>
      <c r="H85" s="3"/>
    </row>
    <row r="86" customFormat="false" ht="15" hidden="false" customHeight="false" outlineLevel="0" collapsed="false">
      <c r="A86" s="2" t="s">
        <v>294</v>
      </c>
      <c r="B86" s="2" t="s">
        <v>295</v>
      </c>
      <c r="C86" s="2" t="s">
        <v>100</v>
      </c>
      <c r="D86" s="2"/>
      <c r="E86" s="2"/>
      <c r="F86" s="2" t="s">
        <v>59</v>
      </c>
      <c r="G86" s="2" t="s">
        <v>42</v>
      </c>
      <c r="H86" s="3"/>
    </row>
    <row r="87" customFormat="false" ht="15" hidden="false" customHeight="false" outlineLevel="0" collapsed="false">
      <c r="A87" s="2" t="s">
        <v>296</v>
      </c>
      <c r="B87" s="2" t="s">
        <v>297</v>
      </c>
      <c r="C87" s="2"/>
      <c r="D87" s="2" t="s">
        <v>298</v>
      </c>
      <c r="E87" s="2"/>
      <c r="F87" s="2" t="s">
        <v>21</v>
      </c>
      <c r="G87" s="2" t="s">
        <v>22</v>
      </c>
      <c r="H87" s="3"/>
    </row>
  </sheetData>
  <autoFilter ref="A1:H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4" t="s">
        <v>299</v>
      </c>
    </row>
    <row r="2" customFormat="false" ht="15" hidden="false" customHeight="false" outlineLevel="0" collapsed="false">
      <c r="A2" s="5" t="s">
        <v>300</v>
      </c>
    </row>
    <row r="4" customFormat="false" ht="15" hidden="false" customHeight="false" outlineLevel="0" collapsed="false">
      <c r="A4" s="6" t="s">
        <v>301</v>
      </c>
      <c r="B4" s="2" t="n">
        <f aca="false">COUNTA(Base!A2:A87)</f>
        <v>86</v>
      </c>
    </row>
    <row r="5" customFormat="false" ht="15" hidden="false" customHeight="false" outlineLevel="0" collapsed="false">
      <c r="A5" s="2" t="s">
        <v>302</v>
      </c>
      <c r="B5" s="2" t="n">
        <v>93</v>
      </c>
    </row>
    <row r="6" customFormat="false" ht="15" hidden="false" customHeight="false" outlineLevel="0" collapsed="false">
      <c r="A6" s="2" t="s">
        <v>303</v>
      </c>
      <c r="B6" s="2" t="n">
        <v>7</v>
      </c>
    </row>
    <row r="7" customFormat="false" ht="15" hidden="false" customHeight="false" outlineLevel="0" collapsed="false">
      <c r="A7" s="2" t="s">
        <v>304</v>
      </c>
      <c r="B7" s="2" t="n">
        <v>0</v>
      </c>
    </row>
    <row r="9" customFormat="false" ht="15" hidden="false" customHeight="false" outlineLevel="0" collapsed="false">
      <c r="A9" s="6" t="s">
        <v>305</v>
      </c>
    </row>
    <row r="10" customFormat="false" ht="15" hidden="false" customHeight="false" outlineLevel="0" collapsed="false">
      <c r="A10" s="2" t="s">
        <v>306</v>
      </c>
      <c r="B10" s="2" t="n">
        <f aca="false">COUNTIF(Base!$G$2:$G$87,"*visita_botanica*")</f>
        <v>29</v>
      </c>
    </row>
    <row r="11" customFormat="false" ht="15" hidden="false" customHeight="false" outlineLevel="0" collapsed="false">
      <c r="A11" s="2" t="s">
        <v>307</v>
      </c>
      <c r="B11" s="2" t="n">
        <f aca="false">COUNTIF(Base!$G$2:$G$87,"*educacion*")</f>
        <v>20</v>
      </c>
    </row>
    <row r="12" customFormat="false" ht="15" hidden="false" customHeight="false" outlineLevel="0" collapsed="false">
      <c r="A12" s="2" t="s">
        <v>308</v>
      </c>
      <c r="B12" s="2" t="n">
        <f aca="false">COUNTIF(Base!$G$2:$G$87,"*contactos*")</f>
        <v>27</v>
      </c>
    </row>
    <row r="13" customFormat="false" ht="15" hidden="false" customHeight="false" outlineLevel="0" collapsed="false">
      <c r="A13" s="2" t="s">
        <v>309</v>
      </c>
      <c r="B13" s="2" t="n">
        <f aca="false">COUNTIF(Base!$G$2:$G$87,"*taller*")</f>
        <v>5</v>
      </c>
    </row>
    <row r="14" customFormat="false" ht="15" hidden="false" customHeight="false" outlineLevel="0" collapsed="false">
      <c r="A14" s="2" t="s">
        <v>310</v>
      </c>
      <c r="B14" s="2" t="n">
        <f aca="false">COUNTIF(Base!$G$2:$G$87,"*eventos*")</f>
        <v>6</v>
      </c>
    </row>
    <row r="16" customFormat="false" ht="15" hidden="false" customHeight="false" outlineLevel="0" collapsed="false">
      <c r="A16" s="6" t="s">
        <v>311</v>
      </c>
    </row>
    <row r="17" customFormat="false" ht="15" hidden="false" customHeight="false" outlineLevel="0" collapsed="false">
      <c r="A17" s="7" t="s">
        <v>312</v>
      </c>
    </row>
    <row r="18" customFormat="false" ht="15" hidden="false" customHeight="false" outlineLevel="0" collapsed="false">
      <c r="A18" s="7" t="s">
        <v>313</v>
      </c>
    </row>
    <row r="19" customFormat="false" ht="15" hidden="false" customHeight="false" outlineLevel="0" collapsed="false">
      <c r="A19" s="7" t="s">
        <v>314</v>
      </c>
    </row>
    <row r="20" customFormat="false" ht="15" hidden="false" customHeight="false" outlineLevel="0" collapsed="false">
      <c r="A20" s="7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2026-07-15T04:28:28Z</dcterms:created>
  <dc:creator>openpyxl</dc:creator>
  <dc:description/>
  <dc:language>en-US</dc:language>
  <cp:lastModifiedBy/>
  <dcterms:modified xsi:type="dcterms:W3CDTF">2026-07-15T04:28:28Z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